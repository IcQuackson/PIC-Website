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GL.INET" sheetId="2" r:id="rId6"/>
    <sheet state="visible" name="Knives and Tools" sheetId="3" r:id="rId7"/>
    <sheet state="visible" name="Outros" sheetId="4" r:id="rId8"/>
  </sheets>
  <definedNames/>
  <calcPr/>
</workbook>
</file>

<file path=xl/sharedStrings.xml><?xml version="1.0" encoding="utf-8"?>
<sst xmlns="http://schemas.openxmlformats.org/spreadsheetml/2006/main" count="47" uniqueCount="25">
  <si>
    <t>Equipa</t>
  </si>
  <si>
    <t>Fornecedor</t>
  </si>
  <si>
    <t>Valor</t>
  </si>
  <si>
    <t>Mauser</t>
  </si>
  <si>
    <t>PTRobotics</t>
  </si>
  <si>
    <t>Outros</t>
  </si>
  <si>
    <t>Total</t>
  </si>
  <si>
    <t>ID</t>
  </si>
  <si>
    <t>Tipo</t>
  </si>
  <si>
    <t>Link Fornecedor</t>
  </si>
  <si>
    <t>Referência</t>
  </si>
  <si>
    <t>Link Equipamento</t>
  </si>
  <si>
    <t>Descrição</t>
  </si>
  <si>
    <t>Quantidade</t>
  </si>
  <si>
    <t>Preço Unitário</t>
  </si>
  <si>
    <t>Preço Total</t>
  </si>
  <si>
    <t>Router</t>
  </si>
  <si>
    <t>https://store-eu.gl-inet.com</t>
  </si>
  <si>
    <t>GL-AR300M16-Ext</t>
  </si>
  <si>
    <t>https://store-eu.gl-inet.com/products/gl-ar300m16-mini-smart-router</t>
  </si>
  <si>
    <t>Alimentação</t>
  </si>
  <si>
    <t>https://www.knivesandtools.pt</t>
  </si>
  <si>
    <t>NCNB10000SILVER</t>
  </si>
  <si>
    <t>https://www.knivesandtools.pt/pt/pt/-nitecore-nb10000-power-bank-silver-10000-mah.htm</t>
  </si>
  <si>
    <t xml:space="preserve">Nitecore NB10000 banco de potência íon-lítio (Li-Ion) 10000 mAh preto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</si>
</sst>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434343"/>
      <name val="Arial"/>
      <scheme val="minor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0" xfId="0" applyFont="1"/>
    <xf borderId="0" fillId="0" fontId="2" numFmtId="2" xfId="0" applyFont="1" applyNumberFormat="1"/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2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GL.IN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nives and Too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r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" displayName="GL.INET" name="GL.INET" id="1">
  <tableColumns count="10">
    <tableColumn name="ID" id="1"/>
    <tableColumn name="Equipa" id="2"/>
    <tableColumn name="Tipo" id="3"/>
    <tableColumn name="Link Fornecedor" id="4"/>
    <tableColumn name="Referência" id="5"/>
    <tableColumn name="Link Equipamento" id="6"/>
    <tableColumn name="Descrição" id="7"/>
    <tableColumn name="Quantidade" id="8"/>
    <tableColumn name="Preço Unitário" id="9"/>
    <tableColumn name="Preço Total" id="10"/>
  </tableColumns>
  <tableStyleInfo name="GL.INET-style" showColumnStripes="0" showFirstColumn="1" showLastColumn="1" showRowStripes="1"/>
</table>
</file>

<file path=xl/tables/table2.xml><?xml version="1.0" encoding="utf-8"?>
<table xmlns="http://schemas.openxmlformats.org/spreadsheetml/2006/main" ref="A1:J2" displayName="Knives_and_Tools" name="Knives_and_Tools" id="2">
  <tableColumns count="10">
    <tableColumn name="ID" id="1"/>
    <tableColumn name="Equipa" id="2"/>
    <tableColumn name="Tipo" id="3"/>
    <tableColumn name="Link Fornecedor" id="4"/>
    <tableColumn name="Referência" id="5"/>
    <tableColumn name="Link Equipamento" id="6"/>
    <tableColumn name="Descrição" id="7"/>
    <tableColumn name="Quantidade" id="8"/>
    <tableColumn name="Preço Unitário" id="9"/>
    <tableColumn name="Preço Total" id="10"/>
  </tableColumns>
  <tableStyleInfo name="Knives and Tools-style" showColumnStripes="0" showFirstColumn="1" showLastColumn="1" showRowStripes="1"/>
</table>
</file>

<file path=xl/tables/table3.xml><?xml version="1.0" encoding="utf-8"?>
<table xmlns="http://schemas.openxmlformats.org/spreadsheetml/2006/main" ref="A1:J2" displayName="Outros" name="Outros" id="3">
  <tableColumns count="10">
    <tableColumn name="ID" id="1"/>
    <tableColumn name="Equipa" id="2"/>
    <tableColumn name="Tipo" id="3"/>
    <tableColumn name="Link Fornecedor" id="4"/>
    <tableColumn name="Referência" id="5"/>
    <tableColumn name="Link Equipamento" id="6"/>
    <tableColumn name="Descrição" id="7"/>
    <tableColumn name="Quantidade" id="8"/>
    <tableColumn name="Preço Unitário" id="9"/>
    <tableColumn name="Preço Total" id="10"/>
  </tableColumns>
  <tableStyleInfo name="Ou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tore-eu.gl-inet.com" TargetMode="External"/><Relationship Id="rId2" Type="http://schemas.openxmlformats.org/officeDocument/2006/relationships/hyperlink" Target="https://store-eu.gl-inet.com/products/gl-ar300m16-mini-smart-router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nivesandtools.pt" TargetMode="External"/><Relationship Id="rId2" Type="http://schemas.openxmlformats.org/officeDocument/2006/relationships/hyperlink" Target="https://www.knivesandtools.pt/pt/pt/-nitecore-nb10000-power-bank-silver-10000-mah.htm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18.0</v>
      </c>
    </row>
    <row r="3">
      <c r="A3" s="2" t="s">
        <v>1</v>
      </c>
      <c r="B3" s="2" t="s">
        <v>2</v>
      </c>
    </row>
    <row r="4">
      <c r="A4" s="3" t="s">
        <v>3</v>
      </c>
      <c r="B4" s="4">
        <f>sum(GL.INET[Preço Total])</f>
        <v>122.781</v>
      </c>
    </row>
    <row r="5">
      <c r="A5" s="3" t="s">
        <v>4</v>
      </c>
      <c r="B5" s="5">
        <f>sum(Knives_and_Tools[Preço Total])</f>
        <v>78.49</v>
      </c>
    </row>
    <row r="6">
      <c r="A6" s="3" t="s">
        <v>5</v>
      </c>
      <c r="B6" s="5">
        <f>sum(Outros[Preço Total])</f>
        <v>0</v>
      </c>
    </row>
    <row r="7">
      <c r="A7" s="2" t="s">
        <v>6</v>
      </c>
      <c r="B7" s="6">
        <f>SUM(B4:B6)</f>
        <v>201.271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3.38"/>
    <col customWidth="1" min="3" max="5" width="15.0"/>
    <col customWidth="1" min="6" max="6" width="24.0"/>
    <col customWidth="1" min="7" max="7" width="26.13"/>
    <col customWidth="1" min="8" max="8" width="13.13"/>
    <col customWidth="1" min="9" max="9" width="14.0"/>
  </cols>
  <sheetData>
    <row r="1" ht="22.5" customHeight="1">
      <c r="A1" s="7" t="s">
        <v>7</v>
      </c>
      <c r="B1" s="8" t="s">
        <v>0</v>
      </c>
      <c r="C1" s="8" t="s">
        <v>8</v>
      </c>
      <c r="D1" s="8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</row>
    <row r="2" ht="22.5" customHeight="1">
      <c r="A2" s="9" t="str">
        <f>"ec2526-"&amp;TEXT(Resumo!$B$1,"00")&amp;"-g"&amp;TEXT(ROW()-1,"00")</f>
        <v>ec2526-18-g01</v>
      </c>
      <c r="B2" s="9">
        <f>Resumo!$B$1</f>
        <v>18</v>
      </c>
      <c r="C2" s="10" t="s">
        <v>16</v>
      </c>
      <c r="D2" s="11" t="s">
        <v>17</v>
      </c>
      <c r="E2" s="9" t="s">
        <v>18</v>
      </c>
      <c r="F2" s="11" t="s">
        <v>19</v>
      </c>
      <c r="G2" s="9" t="s">
        <v>18</v>
      </c>
      <c r="H2" s="9">
        <v>3.0</v>
      </c>
      <c r="I2" s="12">
        <v>40.927</v>
      </c>
      <c r="J2" s="13">
        <f>H2*I2</f>
        <v>122.781</v>
      </c>
    </row>
  </sheetData>
  <dataValidations>
    <dataValidation type="custom" allowBlank="1" showDropDown="1" sqref="I2:J2">
      <formula1>AND(ISNUMBER(I2),(NOT(OR(NOT(ISERROR(DATEVALUE(I2))), AND(ISNUMBER(I2), LEFT(CELL("format", I2))="D")))))</formula1>
    </dataValidation>
  </dataValidations>
  <hyperlinks>
    <hyperlink r:id="rId1" ref="D2"/>
    <hyperlink r:id="rId2" ref="F2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4" width="14.13"/>
    <col customWidth="1" min="5" max="5" width="19.88"/>
    <col customWidth="1" min="6" max="6" width="38.63"/>
    <col customWidth="1" min="7" max="7" width="14.5"/>
    <col customWidth="1" min="8" max="8" width="14.0"/>
  </cols>
  <sheetData>
    <row r="1" ht="22.5" customHeight="1">
      <c r="A1" s="7" t="s">
        <v>7</v>
      </c>
      <c r="B1" s="8" t="s">
        <v>0</v>
      </c>
      <c r="C1" s="8" t="s">
        <v>8</v>
      </c>
      <c r="D1" s="8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</row>
    <row r="2" ht="22.5" customHeight="1">
      <c r="A2" s="9" t="str">
        <f>"ec2526-"&amp;TEXT(Resumo!$B$1,"00")&amp;"-k"&amp;TEXT(ROW()-1,"00")</f>
        <v>ec2526-18-k01</v>
      </c>
      <c r="B2" s="9">
        <f>Resumo!$B$1</f>
        <v>18</v>
      </c>
      <c r="C2" s="9" t="s">
        <v>20</v>
      </c>
      <c r="D2" s="14" t="s">
        <v>21</v>
      </c>
      <c r="E2" s="9" t="s">
        <v>22</v>
      </c>
      <c r="F2" s="11" t="s">
        <v>23</v>
      </c>
      <c r="G2" s="9" t="s">
        <v>24</v>
      </c>
      <c r="H2" s="9">
        <v>1.0</v>
      </c>
      <c r="I2" s="9">
        <v>78.49</v>
      </c>
      <c r="J2" s="15">
        <f>H2*I2</f>
        <v>78.49</v>
      </c>
    </row>
  </sheetData>
  <hyperlinks>
    <hyperlink r:id="rId1" ref="D2"/>
    <hyperlink r:id="rId2" ref="F2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9.63"/>
    <col customWidth="1" min="3" max="3" width="18.63"/>
    <col customWidth="1" min="4" max="4" width="24.88"/>
    <col customWidth="1" min="5" max="5" width="16.88"/>
    <col customWidth="1" min="6" max="6" width="27.5"/>
    <col customWidth="1" min="7" max="7" width="29.38"/>
    <col customWidth="1" min="8" max="8" width="13.75"/>
    <col customWidth="1" min="9" max="9" width="12.75"/>
  </cols>
  <sheetData>
    <row r="1" ht="22.5" customHeight="1">
      <c r="A1" s="7" t="s">
        <v>7</v>
      </c>
      <c r="B1" s="8" t="s">
        <v>0</v>
      </c>
      <c r="C1" s="8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</row>
    <row r="2" ht="22.5" customHeight="1">
      <c r="A2" s="9" t="str">
        <f>"ec2526-"&amp;TEXT(Resumo!$B$1,"00")&amp;"-o"&amp;TEXT(row()-1,"00")</f>
        <v>ec2526-18-o01</v>
      </c>
      <c r="B2" s="16">
        <f>Resumo!$B$1</f>
        <v>18</v>
      </c>
      <c r="C2" s="16"/>
      <c r="D2" s="16"/>
      <c r="F2" s="10"/>
      <c r="J2" s="15">
        <f>H2*I2</f>
        <v>0</v>
      </c>
    </row>
  </sheetData>
  <drawing r:id="rId1"/>
  <tableParts count="1">
    <tablePart r:id="rId3"/>
  </tableParts>
</worksheet>
</file>